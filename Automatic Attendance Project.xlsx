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28999251C8E0F35/Documents/"/>
    </mc:Choice>
  </mc:AlternateContent>
  <xr:revisionPtr revIDLastSave="4" documentId="8_{C745D757-6991-4533-AA93-5BFD10030DA3}" xr6:coauthVersionLast="47" xr6:coauthVersionMax="47" xr10:uidLastSave="{94B0F60C-76C0-484D-BA31-85507F69C47C}"/>
  <bookViews>
    <workbookView xWindow="-110" yWindow="-110" windowWidth="19420" windowHeight="10300" xr2:uid="{F5818FE0-BDDF-426E-ADF5-FB44096A04FD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5" i="1" l="1"/>
  <c r="AL25" i="1"/>
  <c r="AK25" i="1"/>
  <c r="AN24" i="1"/>
  <c r="AL24" i="1"/>
  <c r="AK24" i="1"/>
  <c r="AN23" i="1"/>
  <c r="AL23" i="1"/>
  <c r="AK23" i="1"/>
  <c r="AN22" i="1"/>
  <c r="AL22" i="1"/>
  <c r="AK22" i="1"/>
  <c r="AN21" i="1"/>
  <c r="AL21" i="1"/>
  <c r="AK21" i="1"/>
  <c r="AN20" i="1"/>
  <c r="AL20" i="1"/>
  <c r="AK20" i="1"/>
  <c r="AN19" i="1"/>
  <c r="AL19" i="1"/>
  <c r="AK19" i="1"/>
  <c r="AN18" i="1"/>
  <c r="AL18" i="1"/>
  <c r="AK18" i="1"/>
  <c r="AN17" i="1"/>
  <c r="AL17" i="1"/>
  <c r="AK17" i="1"/>
  <c r="AN16" i="1"/>
  <c r="AL16" i="1"/>
  <c r="AK16" i="1"/>
  <c r="AN15" i="1"/>
  <c r="AL15" i="1"/>
  <c r="AK15" i="1"/>
  <c r="AN14" i="1"/>
  <c r="AL14" i="1"/>
  <c r="AK14" i="1"/>
  <c r="AN13" i="1"/>
  <c r="AL13" i="1"/>
  <c r="AK13" i="1"/>
  <c r="AN12" i="1"/>
  <c r="AL12" i="1"/>
  <c r="AK12" i="1"/>
  <c r="AN11" i="1"/>
  <c r="AL11" i="1"/>
  <c r="AK11" i="1"/>
  <c r="C7" i="1"/>
  <c r="E8" i="1" s="1"/>
  <c r="AJ5" i="1"/>
  <c r="E5" i="1"/>
  <c r="E9" i="1" l="1"/>
  <c r="D7" i="1"/>
  <c r="F8" i="1" s="1"/>
  <c r="G8" i="1" l="1"/>
  <c r="F9" i="1"/>
  <c r="H8" i="1" l="1"/>
  <c r="G9" i="1"/>
  <c r="I8" i="1" l="1"/>
  <c r="H9" i="1"/>
  <c r="I9" i="1" l="1"/>
  <c r="J8" i="1"/>
  <c r="K8" i="1" l="1"/>
  <c r="J9" i="1"/>
  <c r="L8" i="1" l="1"/>
  <c r="K9" i="1"/>
  <c r="L9" i="1" l="1"/>
  <c r="M8" i="1"/>
  <c r="M9" i="1" l="1"/>
  <c r="N8" i="1"/>
  <c r="N9" i="1" l="1"/>
  <c r="O8" i="1"/>
  <c r="P8" i="1" l="1"/>
  <c r="O9" i="1"/>
  <c r="P9" i="1" l="1"/>
  <c r="Q8" i="1"/>
  <c r="R8" i="1" l="1"/>
  <c r="Q9" i="1"/>
  <c r="S8" i="1" l="1"/>
  <c r="R9" i="1"/>
  <c r="T8" i="1" l="1"/>
  <c r="S9" i="1"/>
  <c r="U8" i="1" l="1"/>
  <c r="T9" i="1"/>
  <c r="U9" i="1" l="1"/>
  <c r="V8" i="1"/>
  <c r="W8" i="1" l="1"/>
  <c r="V9" i="1"/>
  <c r="W9" i="1" l="1"/>
  <c r="X8" i="1"/>
  <c r="X9" i="1" l="1"/>
  <c r="Y8" i="1"/>
  <c r="Y9" i="1" l="1"/>
  <c r="Z8" i="1"/>
  <c r="Z9" i="1" l="1"/>
  <c r="AA8" i="1"/>
  <c r="AB8" i="1" l="1"/>
  <c r="AA9" i="1"/>
  <c r="AB9" i="1" l="1"/>
  <c r="AC8" i="1"/>
  <c r="AD8" i="1" l="1"/>
  <c r="AC9" i="1"/>
  <c r="AE8" i="1" l="1"/>
  <c r="AD9" i="1"/>
  <c r="AF8" i="1" l="1"/>
  <c r="AE9" i="1"/>
  <c r="AG8" i="1" l="1"/>
  <c r="AF9" i="1"/>
  <c r="AG9" i="1" l="1"/>
  <c r="AH8" i="1"/>
  <c r="AI8" i="1" l="1"/>
  <c r="AH9" i="1"/>
  <c r="AI9" i="1" l="1"/>
  <c r="AJ21" i="1"/>
  <c r="AJ16" i="1"/>
  <c r="AJ19" i="1"/>
  <c r="AJ24" i="1"/>
  <c r="AJ23" i="1"/>
  <c r="AJ22" i="1"/>
  <c r="AJ13" i="1"/>
  <c r="AJ11" i="1"/>
  <c r="AJ20" i="1"/>
  <c r="AJ25" i="1"/>
  <c r="AJ17" i="1"/>
  <c r="AJ18" i="1"/>
  <c r="AJ12" i="1"/>
  <c r="AJ14" i="1"/>
  <c r="AJ15" i="1"/>
  <c r="AM19" i="1" l="1"/>
  <c r="AM12" i="1"/>
  <c r="AM16" i="1"/>
  <c r="AM11" i="1"/>
  <c r="AM14" i="1"/>
  <c r="AM22" i="1"/>
  <c r="AM21" i="1"/>
  <c r="AM15" i="1"/>
  <c r="AM25" i="1"/>
  <c r="AM13" i="1"/>
  <c r="AM20" i="1"/>
  <c r="AM24" i="1"/>
  <c r="AM18" i="1"/>
  <c r="AM23" i="1"/>
  <c r="AM17" i="1"/>
</calcChain>
</file>

<file path=xl/sharedStrings.xml><?xml version="1.0" encoding="utf-8"?>
<sst xmlns="http://schemas.openxmlformats.org/spreadsheetml/2006/main" count="442" uniqueCount="55">
  <si>
    <t>Month</t>
  </si>
  <si>
    <t>Year</t>
  </si>
  <si>
    <t>June</t>
  </si>
  <si>
    <t>EMP_ID</t>
  </si>
  <si>
    <t>EMP_Name</t>
  </si>
  <si>
    <t>Total Days</t>
  </si>
  <si>
    <t>present</t>
  </si>
  <si>
    <t>Holidays</t>
  </si>
  <si>
    <t>Weekdays</t>
  </si>
  <si>
    <t>Absent</t>
  </si>
  <si>
    <t>E001</t>
  </si>
  <si>
    <t>Employee 1</t>
  </si>
  <si>
    <t>P</t>
  </si>
  <si>
    <t>A</t>
  </si>
  <si>
    <t>H</t>
  </si>
  <si>
    <t>p</t>
  </si>
  <si>
    <t>E002</t>
  </si>
  <si>
    <t>Employee 2</t>
  </si>
  <si>
    <t>E003</t>
  </si>
  <si>
    <t>Employee 3</t>
  </si>
  <si>
    <t>E004</t>
  </si>
  <si>
    <t>Employee 4</t>
  </si>
  <si>
    <t>E005</t>
  </si>
  <si>
    <t>Employee 5</t>
  </si>
  <si>
    <t>E006</t>
  </si>
  <si>
    <t>Employee 6</t>
  </si>
  <si>
    <t>E007</t>
  </si>
  <si>
    <t>Employee 7</t>
  </si>
  <si>
    <t>E008</t>
  </si>
  <si>
    <t>Employee 8</t>
  </si>
  <si>
    <t>E009</t>
  </si>
  <si>
    <t>Employee 9</t>
  </si>
  <si>
    <t>E010</t>
  </si>
  <si>
    <t>Employee 10</t>
  </si>
  <si>
    <t>E011</t>
  </si>
  <si>
    <t>Employee 11</t>
  </si>
  <si>
    <t>E012</t>
  </si>
  <si>
    <t>Employee 12</t>
  </si>
  <si>
    <t>E013</t>
  </si>
  <si>
    <t>Employee 13</t>
  </si>
  <si>
    <t>E014</t>
  </si>
  <si>
    <t>Employee 14</t>
  </si>
  <si>
    <t>E015</t>
  </si>
  <si>
    <t>Employee 15</t>
  </si>
  <si>
    <t>January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</si>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</sst>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64" fontId="1" fillId="2" borderId="0" xfId="0" applyNumberFormat="1" applyFont="1" applyFill="1"/>
    <xf numFmtId="14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textRotation="90"/>
    </xf>
    <xf numFmtId="14" fontId="0" fillId="0" borderId="0" xfId="0" applyNumberFormat="1"/>
    <xf numFmtId="0" fontId="1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6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59D0-57B0-4F5E-9D17-900E740DE7F4}">
  <dimension ref="C5:AO41"/>
  <sheetViews>
    <sheetView tabSelected="1" zoomScale="62" zoomScaleNormal="70" workbookViewId="0">
      <selection activeCell="AH22" sqref="AH22"/>
    </sheetView>
  </sheetViews>
  <sheetFormatPr defaultRowHeight="14.5" x14ac:dyDescent="0.35"/>
  <cols>
    <col min="3" max="3" width="10.08984375" bestFit="1" customWidth="1"/>
    <col min="4" max="4" width="11.453125" bestFit="1" customWidth="1"/>
    <col min="5" max="5" width="3.36328125" bestFit="1" customWidth="1"/>
    <col min="6" max="35" width="2.81640625" bestFit="1" customWidth="1"/>
    <col min="37" max="37" width="4.26953125" customWidth="1"/>
    <col min="38" max="38" width="4.6328125" customWidth="1"/>
    <col min="39" max="39" width="5.08984375" customWidth="1"/>
    <col min="40" max="40" width="3.81640625" customWidth="1"/>
  </cols>
  <sheetData>
    <row r="5" spans="3:41" x14ac:dyDescent="0.35">
      <c r="C5" s="1" t="s">
        <v>0</v>
      </c>
      <c r="D5" s="1" t="s">
        <v>1</v>
      </c>
      <c r="E5" s="2" t="str">
        <f>"Automatic Attendance Sheet -"&amp;C6&amp;" "&amp;D6</f>
        <v>Automatic Attendance Sheet -June 2026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3" t="str">
        <f>"Total "</f>
        <v xml:space="preserve">Total </v>
      </c>
      <c r="AK5" s="3"/>
      <c r="AL5" s="3"/>
      <c r="AM5" s="3"/>
      <c r="AN5" s="3"/>
    </row>
    <row r="6" spans="3:41" x14ac:dyDescent="0.35">
      <c r="C6" s="1" t="s">
        <v>2</v>
      </c>
      <c r="D6" s="1">
        <v>2026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"/>
      <c r="AK6" s="3"/>
      <c r="AL6" s="3"/>
      <c r="AM6" s="3"/>
      <c r="AN6" s="3"/>
    </row>
    <row r="7" spans="3:41" x14ac:dyDescent="0.35">
      <c r="C7" s="4">
        <f>DATEVALUE("01"&amp;C6&amp;D6)</f>
        <v>46174</v>
      </c>
      <c r="D7" s="4">
        <f>EOMONTH(C7,0)</f>
        <v>46203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3"/>
      <c r="AK7" s="3"/>
      <c r="AL7" s="3"/>
      <c r="AM7" s="3"/>
      <c r="AN7" s="3"/>
    </row>
    <row r="8" spans="3:41" x14ac:dyDescent="0.35">
      <c r="C8" s="5" t="s">
        <v>3</v>
      </c>
      <c r="D8" s="5" t="s">
        <v>4</v>
      </c>
      <c r="E8" s="6">
        <f>C7</f>
        <v>46174</v>
      </c>
      <c r="F8" s="6">
        <f>IF(E8&lt;$D$7,E8+1,"")</f>
        <v>46175</v>
      </c>
      <c r="G8" s="6">
        <f t="shared" ref="G8:AI8" si="0">IF(F8&lt;$D$7,F8+1,"")</f>
        <v>46176</v>
      </c>
      <c r="H8" s="6">
        <f t="shared" si="0"/>
        <v>46177</v>
      </c>
      <c r="I8" s="6">
        <f t="shared" si="0"/>
        <v>46178</v>
      </c>
      <c r="J8" s="6">
        <f t="shared" si="0"/>
        <v>46179</v>
      </c>
      <c r="K8" s="6">
        <f t="shared" si="0"/>
        <v>46180</v>
      </c>
      <c r="L8" s="6">
        <f t="shared" si="0"/>
        <v>46181</v>
      </c>
      <c r="M8" s="6">
        <f t="shared" si="0"/>
        <v>46182</v>
      </c>
      <c r="N8" s="6">
        <f t="shared" si="0"/>
        <v>46183</v>
      </c>
      <c r="O8" s="6">
        <f t="shared" si="0"/>
        <v>46184</v>
      </c>
      <c r="P8" s="6">
        <f t="shared" si="0"/>
        <v>46185</v>
      </c>
      <c r="Q8" s="6">
        <f t="shared" si="0"/>
        <v>46186</v>
      </c>
      <c r="R8" s="6">
        <f t="shared" si="0"/>
        <v>46187</v>
      </c>
      <c r="S8" s="6">
        <f t="shared" si="0"/>
        <v>46188</v>
      </c>
      <c r="T8" s="6">
        <f t="shared" si="0"/>
        <v>46189</v>
      </c>
      <c r="U8" s="6">
        <f t="shared" si="0"/>
        <v>46190</v>
      </c>
      <c r="V8" s="6">
        <f t="shared" si="0"/>
        <v>46191</v>
      </c>
      <c r="W8" s="6">
        <f t="shared" si="0"/>
        <v>46192</v>
      </c>
      <c r="X8" s="6">
        <f t="shared" si="0"/>
        <v>46193</v>
      </c>
      <c r="Y8" s="6">
        <f t="shared" si="0"/>
        <v>46194</v>
      </c>
      <c r="Z8" s="6">
        <f t="shared" si="0"/>
        <v>46195</v>
      </c>
      <c r="AA8" s="6">
        <f t="shared" si="0"/>
        <v>46196</v>
      </c>
      <c r="AB8" s="6">
        <f t="shared" si="0"/>
        <v>46197</v>
      </c>
      <c r="AC8" s="6">
        <f t="shared" si="0"/>
        <v>46198</v>
      </c>
      <c r="AD8" s="6">
        <f t="shared" si="0"/>
        <v>46199</v>
      </c>
      <c r="AE8" s="6">
        <f t="shared" si="0"/>
        <v>46200</v>
      </c>
      <c r="AF8" s="6">
        <f t="shared" si="0"/>
        <v>46201</v>
      </c>
      <c r="AG8" s="6">
        <f t="shared" si="0"/>
        <v>46202</v>
      </c>
      <c r="AH8" s="6">
        <f t="shared" si="0"/>
        <v>46203</v>
      </c>
      <c r="AI8" s="6" t="str">
        <f t="shared" si="0"/>
        <v/>
      </c>
      <c r="AJ8" s="7" t="s">
        <v>5</v>
      </c>
      <c r="AK8" s="8" t="s">
        <v>6</v>
      </c>
      <c r="AL8" s="8" t="s">
        <v>7</v>
      </c>
      <c r="AM8" s="8" t="s">
        <v>8</v>
      </c>
      <c r="AN8" s="8" t="s">
        <v>9</v>
      </c>
      <c r="AO8" s="9"/>
    </row>
    <row r="9" spans="3:41" x14ac:dyDescent="0.35">
      <c r="C9" s="5"/>
      <c r="D9" s="5"/>
      <c r="E9" s="10" t="str">
        <f>TEXT(E8,"ddd")</f>
        <v>Mon</v>
      </c>
      <c r="F9" s="10" t="str">
        <f t="shared" ref="F9:AI9" si="1">TEXT(F8,"ddd")</f>
        <v>Tue</v>
      </c>
      <c r="G9" s="10" t="str">
        <f t="shared" si="1"/>
        <v>Wed</v>
      </c>
      <c r="H9" s="10" t="str">
        <f t="shared" si="1"/>
        <v>Thu</v>
      </c>
      <c r="I9" s="10" t="str">
        <f t="shared" si="1"/>
        <v>Fri</v>
      </c>
      <c r="J9" s="10" t="str">
        <f t="shared" si="1"/>
        <v>Sat</v>
      </c>
      <c r="K9" s="10" t="str">
        <f t="shared" si="1"/>
        <v>Sun</v>
      </c>
      <c r="L9" s="10" t="str">
        <f t="shared" si="1"/>
        <v>Mon</v>
      </c>
      <c r="M9" s="10" t="str">
        <f t="shared" si="1"/>
        <v>Tue</v>
      </c>
      <c r="N9" s="10" t="str">
        <f t="shared" si="1"/>
        <v>Wed</v>
      </c>
      <c r="O9" s="10" t="str">
        <f t="shared" si="1"/>
        <v>Thu</v>
      </c>
      <c r="P9" s="10" t="str">
        <f t="shared" si="1"/>
        <v>Fri</v>
      </c>
      <c r="Q9" s="10" t="str">
        <f t="shared" si="1"/>
        <v>Sat</v>
      </c>
      <c r="R9" s="10" t="str">
        <f t="shared" si="1"/>
        <v>Sun</v>
      </c>
      <c r="S9" s="10" t="str">
        <f t="shared" si="1"/>
        <v>Mon</v>
      </c>
      <c r="T9" s="10" t="str">
        <f t="shared" si="1"/>
        <v>Tue</v>
      </c>
      <c r="U9" s="10" t="str">
        <f t="shared" si="1"/>
        <v>Wed</v>
      </c>
      <c r="V9" s="10" t="str">
        <f t="shared" si="1"/>
        <v>Thu</v>
      </c>
      <c r="W9" s="10" t="str">
        <f t="shared" si="1"/>
        <v>Fri</v>
      </c>
      <c r="X9" s="10" t="str">
        <f t="shared" si="1"/>
        <v>Sat</v>
      </c>
      <c r="Y9" s="10" t="str">
        <f t="shared" si="1"/>
        <v>Sun</v>
      </c>
      <c r="Z9" s="10" t="str">
        <f t="shared" si="1"/>
        <v>Mon</v>
      </c>
      <c r="AA9" s="10" t="str">
        <f t="shared" si="1"/>
        <v>Tue</v>
      </c>
      <c r="AB9" s="10" t="str">
        <f t="shared" si="1"/>
        <v>Wed</v>
      </c>
      <c r="AC9" s="10" t="str">
        <f t="shared" si="1"/>
        <v>Thu</v>
      </c>
      <c r="AD9" s="10" t="str">
        <f t="shared" si="1"/>
        <v>Fri</v>
      </c>
      <c r="AE9" s="10" t="str">
        <f t="shared" si="1"/>
        <v>Sat</v>
      </c>
      <c r="AF9" s="10" t="str">
        <f t="shared" si="1"/>
        <v>Sun</v>
      </c>
      <c r="AG9" s="10" t="str">
        <f t="shared" si="1"/>
        <v>Mon</v>
      </c>
      <c r="AH9" s="10" t="str">
        <f t="shared" si="1"/>
        <v>Tue</v>
      </c>
      <c r="AI9" s="10" t="str">
        <f t="shared" si="1"/>
        <v/>
      </c>
      <c r="AJ9" s="7"/>
      <c r="AK9" s="8"/>
      <c r="AL9" s="8"/>
      <c r="AM9" s="8"/>
      <c r="AN9" s="8"/>
    </row>
    <row r="10" spans="3:41" x14ac:dyDescent="0.35">
      <c r="C10" s="5"/>
      <c r="D10" s="5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7"/>
      <c r="AK10" s="8"/>
      <c r="AL10" s="8"/>
      <c r="AM10" s="8"/>
      <c r="AN10" s="8"/>
    </row>
    <row r="11" spans="3:41" ht="14.5" customHeight="1" x14ac:dyDescent="0.35">
      <c r="C11" s="1" t="s">
        <v>10</v>
      </c>
      <c r="D11" s="1" t="s">
        <v>11</v>
      </c>
      <c r="E11" t="s">
        <v>12</v>
      </c>
      <c r="F11" s="9" t="s">
        <v>12</v>
      </c>
      <c r="G11" t="s">
        <v>12</v>
      </c>
      <c r="H11" t="s">
        <v>12</v>
      </c>
      <c r="I11" t="s">
        <v>12</v>
      </c>
      <c r="J11" t="s">
        <v>13</v>
      </c>
      <c r="L11" t="s">
        <v>12</v>
      </c>
      <c r="M11" t="s">
        <v>12</v>
      </c>
      <c r="N11" t="s">
        <v>12</v>
      </c>
      <c r="O11" t="s">
        <v>13</v>
      </c>
      <c r="P11" t="s">
        <v>12</v>
      </c>
      <c r="Q11" t="s">
        <v>13</v>
      </c>
      <c r="S11" t="s">
        <v>14</v>
      </c>
      <c r="T11" t="s">
        <v>12</v>
      </c>
      <c r="U11" t="s">
        <v>13</v>
      </c>
      <c r="V11" t="s">
        <v>12</v>
      </c>
      <c r="W11" t="s">
        <v>12</v>
      </c>
      <c r="X11" t="s">
        <v>13</v>
      </c>
      <c r="Z11" t="s">
        <v>12</v>
      </c>
      <c r="AA11" t="s">
        <v>12</v>
      </c>
      <c r="AB11" t="s">
        <v>12</v>
      </c>
      <c r="AC11" t="s">
        <v>12</v>
      </c>
      <c r="AD11" t="s">
        <v>12</v>
      </c>
      <c r="AE11" t="s">
        <v>12</v>
      </c>
      <c r="AG11" t="s">
        <v>15</v>
      </c>
      <c r="AH11" t="s">
        <v>12</v>
      </c>
      <c r="AJ11">
        <f>COUNT(E$8:AI$8)</f>
        <v>30</v>
      </c>
      <c r="AK11">
        <f>COUNTIF($E11:$AI11,"P")</f>
        <v>20</v>
      </c>
      <c r="AL11">
        <f>COUNTIF($E11:$AI11,"H")</f>
        <v>1</v>
      </c>
      <c r="AM11">
        <f>COUNTIF(E$9:AI$10,"Sun")</f>
        <v>4</v>
      </c>
      <c r="AN11">
        <f>COUNTIF($E11:$AI11,"A")</f>
        <v>5</v>
      </c>
    </row>
    <row r="12" spans="3:41" x14ac:dyDescent="0.35">
      <c r="C12" s="1" t="s">
        <v>16</v>
      </c>
      <c r="D12" s="1" t="s">
        <v>17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L12" t="s">
        <v>13</v>
      </c>
      <c r="M12" t="s">
        <v>13</v>
      </c>
      <c r="N12" t="s">
        <v>12</v>
      </c>
      <c r="O12" t="s">
        <v>12</v>
      </c>
      <c r="P12" t="s">
        <v>12</v>
      </c>
      <c r="Q12" t="s">
        <v>12</v>
      </c>
      <c r="S12" t="s">
        <v>14</v>
      </c>
      <c r="T12" t="s">
        <v>13</v>
      </c>
      <c r="U12" t="s">
        <v>12</v>
      </c>
      <c r="V12" t="s">
        <v>12</v>
      </c>
      <c r="W12" t="s">
        <v>12</v>
      </c>
      <c r="X12" t="s">
        <v>12</v>
      </c>
      <c r="Z12" t="s">
        <v>13</v>
      </c>
      <c r="AA12" t="s">
        <v>12</v>
      </c>
      <c r="AB12" t="s">
        <v>12</v>
      </c>
      <c r="AC12" t="s">
        <v>12</v>
      </c>
      <c r="AD12" t="s">
        <v>12</v>
      </c>
      <c r="AE12" t="s">
        <v>12</v>
      </c>
      <c r="AG12" t="s">
        <v>13</v>
      </c>
      <c r="AH12" t="s">
        <v>13</v>
      </c>
      <c r="AJ12">
        <f t="shared" ref="AJ12:AJ25" si="2">COUNT(E$8:AI$8)</f>
        <v>30</v>
      </c>
      <c r="AK12">
        <f t="shared" ref="AK12:AK25" si="3">COUNTIF($E12:$AI12,"P")</f>
        <v>19</v>
      </c>
      <c r="AL12">
        <f t="shared" ref="AL12:AL25" si="4">COUNTIF($E12:$AI12,"H")</f>
        <v>1</v>
      </c>
      <c r="AM12">
        <f t="shared" ref="AM12:AM25" si="5">COUNTIF(E$9:AI$10,"Sun")</f>
        <v>4</v>
      </c>
      <c r="AN12">
        <f t="shared" ref="AN12:AN25" si="6">COUNTIF($E12:$AI12,"A")</f>
        <v>6</v>
      </c>
    </row>
    <row r="13" spans="3:41" x14ac:dyDescent="0.35">
      <c r="C13" s="1" t="s">
        <v>18</v>
      </c>
      <c r="D13" s="1" t="s">
        <v>19</v>
      </c>
      <c r="E13" t="s">
        <v>12</v>
      </c>
      <c r="F13" t="s">
        <v>12</v>
      </c>
      <c r="G13" t="s">
        <v>12</v>
      </c>
      <c r="H13" t="s">
        <v>15</v>
      </c>
      <c r="I13" t="s">
        <v>12</v>
      </c>
      <c r="J13" t="s">
        <v>13</v>
      </c>
      <c r="L13" t="s">
        <v>12</v>
      </c>
      <c r="M13" t="s">
        <v>12</v>
      </c>
      <c r="N13" t="s">
        <v>12</v>
      </c>
      <c r="O13" t="s">
        <v>13</v>
      </c>
      <c r="P13" t="s">
        <v>13</v>
      </c>
      <c r="Q13" t="s">
        <v>13</v>
      </c>
      <c r="S13" t="s">
        <v>14</v>
      </c>
      <c r="T13" t="s">
        <v>12</v>
      </c>
      <c r="U13" t="s">
        <v>15</v>
      </c>
      <c r="V13" t="s">
        <v>15</v>
      </c>
      <c r="W13" t="s">
        <v>15</v>
      </c>
      <c r="X13" t="s">
        <v>13</v>
      </c>
      <c r="Z13" t="s">
        <v>12</v>
      </c>
      <c r="AA13" t="s">
        <v>12</v>
      </c>
      <c r="AB13" t="s">
        <v>12</v>
      </c>
      <c r="AC13" t="s">
        <v>13</v>
      </c>
      <c r="AD13" t="s">
        <v>13</v>
      </c>
      <c r="AE13" t="s">
        <v>13</v>
      </c>
      <c r="AG13" t="s">
        <v>12</v>
      </c>
      <c r="AH13" t="s">
        <v>13</v>
      </c>
      <c r="AJ13">
        <f t="shared" si="2"/>
        <v>30</v>
      </c>
      <c r="AK13">
        <f t="shared" si="3"/>
        <v>16</v>
      </c>
      <c r="AL13">
        <f t="shared" si="4"/>
        <v>1</v>
      </c>
      <c r="AM13">
        <f t="shared" si="5"/>
        <v>4</v>
      </c>
      <c r="AN13">
        <f t="shared" si="6"/>
        <v>9</v>
      </c>
    </row>
    <row r="14" spans="3:41" x14ac:dyDescent="0.35">
      <c r="C14" s="1" t="s">
        <v>20</v>
      </c>
      <c r="D14" s="1" t="s">
        <v>21</v>
      </c>
      <c r="E14" t="s">
        <v>12</v>
      </c>
      <c r="F14" t="s">
        <v>12</v>
      </c>
      <c r="G14" t="s">
        <v>12</v>
      </c>
      <c r="H14" t="s">
        <v>13</v>
      </c>
      <c r="I14" t="s">
        <v>13</v>
      </c>
      <c r="J14" t="s">
        <v>13</v>
      </c>
      <c r="L14" t="s">
        <v>12</v>
      </c>
      <c r="M14" t="s">
        <v>12</v>
      </c>
      <c r="N14" t="s">
        <v>12</v>
      </c>
      <c r="O14" t="s">
        <v>12</v>
      </c>
      <c r="P14" t="s">
        <v>13</v>
      </c>
      <c r="Q14" t="s">
        <v>13</v>
      </c>
      <c r="S14" t="s">
        <v>14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G14" t="s">
        <v>12</v>
      </c>
      <c r="AH14" t="s">
        <v>12</v>
      </c>
      <c r="AJ14">
        <f t="shared" si="2"/>
        <v>30</v>
      </c>
      <c r="AK14">
        <f t="shared" si="3"/>
        <v>20</v>
      </c>
      <c r="AL14">
        <f t="shared" si="4"/>
        <v>1</v>
      </c>
      <c r="AM14">
        <f t="shared" si="5"/>
        <v>4</v>
      </c>
      <c r="AN14">
        <f t="shared" si="6"/>
        <v>5</v>
      </c>
    </row>
    <row r="15" spans="3:41" x14ac:dyDescent="0.35">
      <c r="C15" s="1" t="s">
        <v>22</v>
      </c>
      <c r="D15" s="1" t="s">
        <v>23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S15" t="s">
        <v>14</v>
      </c>
      <c r="T15" t="s">
        <v>13</v>
      </c>
      <c r="U15" t="s">
        <v>12</v>
      </c>
      <c r="V15" t="s">
        <v>12</v>
      </c>
      <c r="W15" t="s">
        <v>12</v>
      </c>
      <c r="X15" t="s">
        <v>12</v>
      </c>
      <c r="Z15" t="s">
        <v>13</v>
      </c>
      <c r="AA15" t="s">
        <v>12</v>
      </c>
      <c r="AB15" t="s">
        <v>12</v>
      </c>
      <c r="AC15" t="s">
        <v>12</v>
      </c>
      <c r="AD15" t="s">
        <v>12</v>
      </c>
      <c r="AE15" t="s">
        <v>13</v>
      </c>
      <c r="AG15" t="s">
        <v>13</v>
      </c>
      <c r="AH15" t="s">
        <v>13</v>
      </c>
      <c r="AJ15">
        <f t="shared" si="2"/>
        <v>30</v>
      </c>
      <c r="AK15">
        <f t="shared" si="3"/>
        <v>20</v>
      </c>
      <c r="AL15">
        <f t="shared" si="4"/>
        <v>1</v>
      </c>
      <c r="AM15">
        <f t="shared" si="5"/>
        <v>4</v>
      </c>
      <c r="AN15">
        <f t="shared" si="6"/>
        <v>5</v>
      </c>
    </row>
    <row r="16" spans="3:41" x14ac:dyDescent="0.35">
      <c r="C16" s="1" t="s">
        <v>24</v>
      </c>
      <c r="D16" s="1" t="s">
        <v>25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S16" t="s">
        <v>14</v>
      </c>
      <c r="T16" t="s">
        <v>12</v>
      </c>
      <c r="U16" t="s">
        <v>12</v>
      </c>
      <c r="V16" t="s">
        <v>12</v>
      </c>
      <c r="W16" t="s">
        <v>12</v>
      </c>
      <c r="X16" t="s">
        <v>12</v>
      </c>
      <c r="Z16" t="s">
        <v>12</v>
      </c>
      <c r="AA16" t="s">
        <v>12</v>
      </c>
      <c r="AB16" t="s">
        <v>12</v>
      </c>
      <c r="AC16" t="s">
        <v>12</v>
      </c>
      <c r="AD16" t="s">
        <v>12</v>
      </c>
      <c r="AE16" t="s">
        <v>12</v>
      </c>
      <c r="AG16" t="s">
        <v>12</v>
      </c>
      <c r="AH16" t="s">
        <v>12</v>
      </c>
      <c r="AJ16">
        <f t="shared" si="2"/>
        <v>30</v>
      </c>
      <c r="AK16">
        <f t="shared" si="3"/>
        <v>25</v>
      </c>
      <c r="AL16">
        <f t="shared" si="4"/>
        <v>1</v>
      </c>
      <c r="AM16">
        <f t="shared" si="5"/>
        <v>4</v>
      </c>
      <c r="AN16">
        <f t="shared" si="6"/>
        <v>0</v>
      </c>
    </row>
    <row r="17" spans="3:40" x14ac:dyDescent="0.35">
      <c r="C17" s="1" t="s">
        <v>26</v>
      </c>
      <c r="D17" s="1" t="s">
        <v>27</v>
      </c>
      <c r="E17" t="s">
        <v>13</v>
      </c>
      <c r="F17" s="9" t="s">
        <v>13</v>
      </c>
      <c r="G17" t="s">
        <v>13</v>
      </c>
      <c r="H17" t="s">
        <v>12</v>
      </c>
      <c r="I17" t="s">
        <v>12</v>
      </c>
      <c r="J17" t="s">
        <v>12</v>
      </c>
      <c r="L17" t="s">
        <v>13</v>
      </c>
      <c r="M17" t="s">
        <v>13</v>
      </c>
      <c r="N17" t="s">
        <v>12</v>
      </c>
      <c r="O17" t="s">
        <v>12</v>
      </c>
      <c r="P17" t="s">
        <v>12</v>
      </c>
      <c r="Q17" t="s">
        <v>12</v>
      </c>
      <c r="S17" t="s">
        <v>14</v>
      </c>
      <c r="T17" t="s">
        <v>12</v>
      </c>
      <c r="U17" t="s">
        <v>12</v>
      </c>
      <c r="V17" t="s">
        <v>12</v>
      </c>
      <c r="W17" t="s">
        <v>12</v>
      </c>
      <c r="X17" t="s">
        <v>12</v>
      </c>
      <c r="Z17" t="s">
        <v>12</v>
      </c>
      <c r="AA17" t="s">
        <v>12</v>
      </c>
      <c r="AB17" t="s">
        <v>13</v>
      </c>
      <c r="AC17" t="s">
        <v>13</v>
      </c>
      <c r="AD17" t="s">
        <v>13</v>
      </c>
      <c r="AE17" t="s">
        <v>13</v>
      </c>
      <c r="AG17" t="s">
        <v>13</v>
      </c>
      <c r="AH17" t="s">
        <v>13</v>
      </c>
      <c r="AJ17">
        <f t="shared" si="2"/>
        <v>30</v>
      </c>
      <c r="AK17">
        <f t="shared" si="3"/>
        <v>14</v>
      </c>
      <c r="AL17">
        <f t="shared" si="4"/>
        <v>1</v>
      </c>
      <c r="AM17">
        <f t="shared" si="5"/>
        <v>4</v>
      </c>
      <c r="AN17">
        <f t="shared" si="6"/>
        <v>11</v>
      </c>
    </row>
    <row r="18" spans="3:40" x14ac:dyDescent="0.35">
      <c r="C18" s="1" t="s">
        <v>28</v>
      </c>
      <c r="D18" s="1" t="s">
        <v>29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S18" t="s">
        <v>14</v>
      </c>
      <c r="T18" t="s">
        <v>12</v>
      </c>
      <c r="U18" t="s">
        <v>12</v>
      </c>
      <c r="V18" t="s">
        <v>12</v>
      </c>
      <c r="W18" t="s">
        <v>12</v>
      </c>
      <c r="X18" t="s">
        <v>13</v>
      </c>
      <c r="Z18" t="s">
        <v>12</v>
      </c>
      <c r="AA18" t="s">
        <v>12</v>
      </c>
      <c r="AB18" t="s">
        <v>12</v>
      </c>
      <c r="AC18" t="s">
        <v>12</v>
      </c>
      <c r="AD18" t="s">
        <v>12</v>
      </c>
      <c r="AE18" t="s">
        <v>13</v>
      </c>
      <c r="AG18" t="s">
        <v>12</v>
      </c>
      <c r="AH18" t="s">
        <v>12</v>
      </c>
      <c r="AJ18">
        <f t="shared" si="2"/>
        <v>30</v>
      </c>
      <c r="AK18">
        <f t="shared" si="3"/>
        <v>17</v>
      </c>
      <c r="AL18">
        <f t="shared" si="4"/>
        <v>1</v>
      </c>
      <c r="AM18">
        <f t="shared" si="5"/>
        <v>4</v>
      </c>
      <c r="AN18">
        <f t="shared" si="6"/>
        <v>8</v>
      </c>
    </row>
    <row r="19" spans="3:40" x14ac:dyDescent="0.35">
      <c r="C19" s="1" t="s">
        <v>30</v>
      </c>
      <c r="D19" s="1" t="s">
        <v>31</v>
      </c>
      <c r="E19" t="s">
        <v>13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12</v>
      </c>
      <c r="Q19" t="s">
        <v>13</v>
      </c>
      <c r="S19" t="s">
        <v>14</v>
      </c>
      <c r="T19" t="s">
        <v>12</v>
      </c>
      <c r="U19" t="s">
        <v>12</v>
      </c>
      <c r="V19" t="s">
        <v>12</v>
      </c>
      <c r="W19" t="s">
        <v>12</v>
      </c>
      <c r="X19" t="s">
        <v>13</v>
      </c>
      <c r="Z19" t="s">
        <v>12</v>
      </c>
      <c r="AA19" t="s">
        <v>12</v>
      </c>
      <c r="AB19" t="s">
        <v>12</v>
      </c>
      <c r="AC19" t="s">
        <v>12</v>
      </c>
      <c r="AD19" t="s">
        <v>12</v>
      </c>
      <c r="AE19" t="s">
        <v>13</v>
      </c>
      <c r="AG19" t="s">
        <v>13</v>
      </c>
      <c r="AH19" t="s">
        <v>13</v>
      </c>
      <c r="AJ19">
        <f t="shared" si="2"/>
        <v>30</v>
      </c>
      <c r="AK19">
        <f t="shared" si="3"/>
        <v>19</v>
      </c>
      <c r="AL19">
        <f t="shared" si="4"/>
        <v>1</v>
      </c>
      <c r="AM19">
        <f t="shared" si="5"/>
        <v>4</v>
      </c>
      <c r="AN19">
        <f t="shared" si="6"/>
        <v>6</v>
      </c>
    </row>
    <row r="20" spans="3:40" x14ac:dyDescent="0.35">
      <c r="C20" s="1" t="s">
        <v>32</v>
      </c>
      <c r="D20" s="1" t="s">
        <v>33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L20" t="s">
        <v>13</v>
      </c>
      <c r="M20" t="s">
        <v>13</v>
      </c>
      <c r="N20" t="s">
        <v>12</v>
      </c>
      <c r="O20" t="s">
        <v>12</v>
      </c>
      <c r="P20" t="s">
        <v>12</v>
      </c>
      <c r="Q20" t="s">
        <v>13</v>
      </c>
      <c r="S20" t="s">
        <v>14</v>
      </c>
      <c r="T20" t="s">
        <v>12</v>
      </c>
      <c r="U20" t="s">
        <v>12</v>
      </c>
      <c r="V20" t="s">
        <v>12</v>
      </c>
      <c r="W20" t="s">
        <v>12</v>
      </c>
      <c r="X20" t="s">
        <v>13</v>
      </c>
      <c r="Z20" t="s">
        <v>12</v>
      </c>
      <c r="AA20" t="s">
        <v>12</v>
      </c>
      <c r="AB20" t="s">
        <v>12</v>
      </c>
      <c r="AC20" t="s">
        <v>12</v>
      </c>
      <c r="AD20" t="s">
        <v>12</v>
      </c>
      <c r="AE20" t="s">
        <v>12</v>
      </c>
      <c r="AG20" t="s">
        <v>12</v>
      </c>
      <c r="AH20" t="s">
        <v>12</v>
      </c>
      <c r="AJ20">
        <f t="shared" si="2"/>
        <v>30</v>
      </c>
      <c r="AK20">
        <f t="shared" si="3"/>
        <v>21</v>
      </c>
      <c r="AL20">
        <f t="shared" si="4"/>
        <v>1</v>
      </c>
      <c r="AM20">
        <f t="shared" si="5"/>
        <v>4</v>
      </c>
      <c r="AN20">
        <f t="shared" si="6"/>
        <v>4</v>
      </c>
    </row>
    <row r="21" spans="3:40" x14ac:dyDescent="0.35">
      <c r="C21" s="1" t="s">
        <v>34</v>
      </c>
      <c r="D21" s="1" t="s">
        <v>35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S21" t="s">
        <v>14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Z21" t="s">
        <v>12</v>
      </c>
      <c r="AA21" t="s">
        <v>12</v>
      </c>
      <c r="AB21" t="s">
        <v>12</v>
      </c>
      <c r="AC21" t="s">
        <v>12</v>
      </c>
      <c r="AD21" t="s">
        <v>12</v>
      </c>
      <c r="AE21" t="s">
        <v>12</v>
      </c>
      <c r="AG21" t="s">
        <v>12</v>
      </c>
      <c r="AH21" t="s">
        <v>13</v>
      </c>
      <c r="AJ21">
        <f t="shared" si="2"/>
        <v>30</v>
      </c>
      <c r="AK21">
        <f t="shared" si="3"/>
        <v>19</v>
      </c>
      <c r="AL21">
        <f t="shared" si="4"/>
        <v>1</v>
      </c>
      <c r="AM21">
        <f t="shared" si="5"/>
        <v>4</v>
      </c>
      <c r="AN21">
        <f t="shared" si="6"/>
        <v>6</v>
      </c>
    </row>
    <row r="22" spans="3:40" x14ac:dyDescent="0.35">
      <c r="C22" s="1" t="s">
        <v>36</v>
      </c>
      <c r="D22" s="1" t="s">
        <v>37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S22" t="s">
        <v>14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G22" t="s">
        <v>13</v>
      </c>
      <c r="AH22" t="s">
        <v>13</v>
      </c>
      <c r="AJ22">
        <f t="shared" si="2"/>
        <v>30</v>
      </c>
      <c r="AK22">
        <f t="shared" si="3"/>
        <v>12</v>
      </c>
      <c r="AL22">
        <f t="shared" si="4"/>
        <v>1</v>
      </c>
      <c r="AM22">
        <f t="shared" si="5"/>
        <v>4</v>
      </c>
      <c r="AN22">
        <f t="shared" si="6"/>
        <v>13</v>
      </c>
    </row>
    <row r="23" spans="3:40" x14ac:dyDescent="0.35">
      <c r="C23" s="1" t="s">
        <v>38</v>
      </c>
      <c r="D23" s="1" t="s">
        <v>39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12</v>
      </c>
      <c r="S23" t="s">
        <v>14</v>
      </c>
      <c r="T23" t="s">
        <v>12</v>
      </c>
      <c r="U23" t="s">
        <v>12</v>
      </c>
      <c r="V23" t="s">
        <v>12</v>
      </c>
      <c r="W23" t="s">
        <v>12</v>
      </c>
      <c r="X23" t="s">
        <v>12</v>
      </c>
      <c r="Z23" t="s">
        <v>12</v>
      </c>
      <c r="AA23" t="s">
        <v>12</v>
      </c>
      <c r="AB23" t="s">
        <v>12</v>
      </c>
      <c r="AC23" t="s">
        <v>12</v>
      </c>
      <c r="AD23" t="s">
        <v>12</v>
      </c>
      <c r="AE23" t="s">
        <v>12</v>
      </c>
      <c r="AG23" t="s">
        <v>12</v>
      </c>
      <c r="AH23" t="s">
        <v>12</v>
      </c>
      <c r="AJ23">
        <f t="shared" si="2"/>
        <v>30</v>
      </c>
      <c r="AK23">
        <f t="shared" si="3"/>
        <v>25</v>
      </c>
      <c r="AL23">
        <f t="shared" si="4"/>
        <v>1</v>
      </c>
      <c r="AM23">
        <f t="shared" si="5"/>
        <v>4</v>
      </c>
      <c r="AN23">
        <f t="shared" si="6"/>
        <v>0</v>
      </c>
    </row>
    <row r="24" spans="3:40" x14ac:dyDescent="0.35">
      <c r="C24" s="1" t="s">
        <v>40</v>
      </c>
      <c r="D24" s="1" t="s">
        <v>41</v>
      </c>
      <c r="E24" t="s">
        <v>13</v>
      </c>
      <c r="F24" t="s">
        <v>12</v>
      </c>
      <c r="G24" t="s">
        <v>13</v>
      </c>
      <c r="H24" t="s">
        <v>12</v>
      </c>
      <c r="I24" t="s">
        <v>13</v>
      </c>
      <c r="J24" t="s">
        <v>12</v>
      </c>
      <c r="L24" t="s">
        <v>13</v>
      </c>
      <c r="M24" t="s">
        <v>12</v>
      </c>
      <c r="N24" t="s">
        <v>13</v>
      </c>
      <c r="O24" t="s">
        <v>12</v>
      </c>
      <c r="P24" t="s">
        <v>13</v>
      </c>
      <c r="Q24" t="s">
        <v>12</v>
      </c>
      <c r="S24" t="s">
        <v>14</v>
      </c>
      <c r="T24" t="s">
        <v>12</v>
      </c>
      <c r="U24" t="s">
        <v>12</v>
      </c>
      <c r="V24" t="s">
        <v>12</v>
      </c>
      <c r="W24" t="s">
        <v>13</v>
      </c>
      <c r="X24" t="s">
        <v>13</v>
      </c>
      <c r="Z24" t="s">
        <v>12</v>
      </c>
      <c r="AA24" t="s">
        <v>12</v>
      </c>
      <c r="AB24" t="s">
        <v>13</v>
      </c>
      <c r="AC24" t="s">
        <v>13</v>
      </c>
      <c r="AD24" t="s">
        <v>13</v>
      </c>
      <c r="AE24" t="s">
        <v>13</v>
      </c>
      <c r="AG24" t="s">
        <v>12</v>
      </c>
      <c r="AH24" t="s">
        <v>12</v>
      </c>
      <c r="AJ24">
        <f t="shared" si="2"/>
        <v>30</v>
      </c>
      <c r="AK24">
        <f t="shared" si="3"/>
        <v>13</v>
      </c>
      <c r="AL24">
        <f t="shared" si="4"/>
        <v>1</v>
      </c>
      <c r="AM24">
        <f t="shared" si="5"/>
        <v>4</v>
      </c>
      <c r="AN24">
        <f t="shared" si="6"/>
        <v>12</v>
      </c>
    </row>
    <row r="25" spans="3:40" x14ac:dyDescent="0.35">
      <c r="C25" s="1" t="s">
        <v>42</v>
      </c>
      <c r="D25" s="1" t="s">
        <v>43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L25" t="s">
        <v>12</v>
      </c>
      <c r="M25" t="s">
        <v>12</v>
      </c>
      <c r="N25" t="s">
        <v>12</v>
      </c>
      <c r="O25" t="s">
        <v>12</v>
      </c>
      <c r="P25" t="s">
        <v>12</v>
      </c>
      <c r="Q25" t="s">
        <v>12</v>
      </c>
      <c r="S25" t="s">
        <v>14</v>
      </c>
      <c r="T25" t="s">
        <v>12</v>
      </c>
      <c r="U25" t="s">
        <v>12</v>
      </c>
      <c r="V25" t="s">
        <v>12</v>
      </c>
      <c r="W25" t="s">
        <v>12</v>
      </c>
      <c r="X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G25" t="s">
        <v>12</v>
      </c>
      <c r="AH25" t="s">
        <v>12</v>
      </c>
      <c r="AJ25">
        <f t="shared" si="2"/>
        <v>30</v>
      </c>
      <c r="AK25">
        <f t="shared" si="3"/>
        <v>25</v>
      </c>
      <c r="AL25">
        <f t="shared" si="4"/>
        <v>1</v>
      </c>
      <c r="AM25">
        <f t="shared" si="5"/>
        <v>4</v>
      </c>
      <c r="AN25">
        <f t="shared" si="6"/>
        <v>0</v>
      </c>
    </row>
    <row r="30" spans="3:40" x14ac:dyDescent="0.35">
      <c r="C30" t="s">
        <v>44</v>
      </c>
    </row>
    <row r="31" spans="3:40" x14ac:dyDescent="0.35">
      <c r="C31" t="s">
        <v>45</v>
      </c>
    </row>
    <row r="32" spans="3:40" x14ac:dyDescent="0.35">
      <c r="C32" t="s">
        <v>46</v>
      </c>
    </row>
    <row r="33" spans="3:3" x14ac:dyDescent="0.35">
      <c r="C33" t="s">
        <v>47</v>
      </c>
    </row>
    <row r="34" spans="3:3" x14ac:dyDescent="0.35">
      <c r="C34" t="s">
        <v>48</v>
      </c>
    </row>
    <row r="35" spans="3:3" x14ac:dyDescent="0.35">
      <c r="C35" t="s">
        <v>2</v>
      </c>
    </row>
    <row r="36" spans="3:3" x14ac:dyDescent="0.35">
      <c r="C36" t="s">
        <v>49</v>
      </c>
    </row>
    <row r="37" spans="3:3" x14ac:dyDescent="0.35">
      <c r="C37" t="s">
        <v>50</v>
      </c>
    </row>
    <row r="38" spans="3:3" x14ac:dyDescent="0.35">
      <c r="C38" t="s">
        <v>51</v>
      </c>
    </row>
    <row r="39" spans="3:3" x14ac:dyDescent="0.35">
      <c r="C39" t="s">
        <v>52</v>
      </c>
    </row>
    <row r="40" spans="3:3" x14ac:dyDescent="0.35">
      <c r="C40" t="s">
        <v>53</v>
      </c>
    </row>
    <row r="41" spans="3:3" x14ac:dyDescent="0.35">
      <c r="C41" t="s">
        <v>54</v>
      </c>
    </row>
  </sheetData>
  <mergeCells count="40">
    <mergeCell ref="AD9:AD10"/>
    <mergeCell ref="AE9:AE10"/>
    <mergeCell ref="AF9:AF10"/>
    <mergeCell ref="AG9:AG10"/>
    <mergeCell ref="AH9:AH10"/>
    <mergeCell ref="AI9:AI10"/>
    <mergeCell ref="X9:X10"/>
    <mergeCell ref="Y9:Y10"/>
    <mergeCell ref="Z9:Z10"/>
    <mergeCell ref="AA9:AA10"/>
    <mergeCell ref="AB9:AB10"/>
    <mergeCell ref="AC9:AC10"/>
    <mergeCell ref="R9:R10"/>
    <mergeCell ref="S9:S10"/>
    <mergeCell ref="T9:T10"/>
    <mergeCell ref="U9:U10"/>
    <mergeCell ref="V9:V10"/>
    <mergeCell ref="W9:W10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E5:AI7"/>
    <mergeCell ref="AJ5:AN7"/>
    <mergeCell ref="C8:C10"/>
    <mergeCell ref="D8:D10"/>
    <mergeCell ref="AJ8:AJ10"/>
    <mergeCell ref="AK8:AK10"/>
    <mergeCell ref="AL8:AL10"/>
    <mergeCell ref="AM8:AM10"/>
    <mergeCell ref="AN8:AN10"/>
    <mergeCell ref="E9:E10"/>
  </mergeCells>
  <phoneticPr fontId="4" type="noConversion"/>
  <conditionalFormatting sqref="E8:AN25">
    <cfRule type="expression" dxfId="5" priority="6">
      <formula>E$8&lt;&gt;""</formula>
    </cfRule>
  </conditionalFormatting>
  <conditionalFormatting sqref="E11:AI25">
    <cfRule type="containsText" dxfId="1" priority="1" operator="containsText" text="A">
      <formula>NOT(ISERROR(SEARCH("A",E11)))</formula>
    </cfRule>
    <cfRule type="containsText" dxfId="2" priority="2" operator="containsText" text="H">
      <formula>NOT(ISERROR(SEARCH("H",E11)))</formula>
    </cfRule>
    <cfRule type="containsText" dxfId="3" priority="3" operator="containsText" text="H">
      <formula>NOT(ISERROR(SEARCH("H",E11)))</formula>
    </cfRule>
    <cfRule type="expression" dxfId="4" priority="5">
      <formula>E$9="Sun"</formula>
    </cfRule>
  </conditionalFormatting>
  <conditionalFormatting sqref="E8:AI8">
    <cfRule type="timePeriod" dxfId="0" priority="4" timePeriod="today">
      <formula>FLOOR(E8,1)=TODAY()</formula>
    </cfRule>
  </conditionalFormatting>
  <dataValidations count="3">
    <dataValidation type="custom" allowBlank="1" showInputMessage="1" showErrorMessage="1" errorTitle="Week Off (sunday)" error="It is Sunday" sqref="E11:AI25" xr:uid="{A9930160-7788-46E2-A3A9-D50FB44CE50F}">
      <formula1>E$9&lt;&gt;"Sun"</formula1>
    </dataValidation>
    <dataValidation type="list" allowBlank="1" showInputMessage="1" showErrorMessage="1" sqref="D6" xr:uid="{F8E0E1A0-D304-474A-AC9A-B0DD5887966C}">
      <formula1>"2026,2027,2028"</formula1>
    </dataValidation>
    <dataValidation type="list" allowBlank="1" showInputMessage="1" showErrorMessage="1" sqref="C6" xr:uid="{785A41C4-EEF4-4F4A-83CD-F3CF0D5E02C9}">
      <formula1>$C$30:$C$41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Gangula Ganesh</dc:creator>
  <cp:lastModifiedBy>Gangula Ganesh</cp:lastModifiedBy>
  <dcterms:created xsi:type="dcterms:W3CDTF">2026-07-09T09:45:09Z</dcterms:created>
  <dcterms:modified xsi:type="dcterms:W3CDTF">2026-07-09T09:49:29Z</dcterms:modified>
</cp:coreProperties>
</file>